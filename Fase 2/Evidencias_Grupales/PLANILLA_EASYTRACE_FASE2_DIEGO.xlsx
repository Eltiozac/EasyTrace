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 state="visible" name="PROYECTO_EASYTRACE_F2" sheetId="7" r:id="rId10"/>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ML">'RELEVANCIA-PUNTAJE'!$D$2</definedName>
    <definedName name="MR_TL">'RELEVANCIA-PUNTAJE'!$B$3</definedName>
    <definedName name="MR_CL">'RELEVANCIA-PUNTAJE'!$B$3</definedName>
    <definedName name="MR_L">'RELEVANCIA-PUNTAJE'!$C$3</definedName>
    <definedName name="MR_ML">'RELEVANCIA-PUNTAJE'!$D$3</definedName>
    <definedName name="PR">'RELEVANCIA-PUNTAJE'!$A$5</definedName>
    <definedName name="NL">'RELEVANCIA-PUNTAJE'!$E$2</definedName>
    <definedName name="MR">'RELEVANCIA-PUNTAJE'!$A$3</definedName>
    <definedName name="L">'RELEVANCIA-PUNTAJE'!$C$2</definedName>
    <definedName name="TL">'RELEVANCIA-PUNTAJE'!$B$2</definedName>
    <definedName name="RE_ML">'RELEVANCIA-PUNTAJE'!$D$4</definedName>
    <definedName name="RE_NL">'RELEVANCIA-PUNTAJE'!$E$4</definedName>
    <definedName name="PR_NL">'RELEVANCIA-PUNTAJE'!$E$5</definedName>
    <definedName name="CL">'RELEVANCIA-PUNTAJE'!$B$2</definedName>
    <definedName name="PR_TL">'RELEVANCIA-PUNTAJE'!$B$5</definedName>
    <definedName name="RE">'RELEVANCIA-PUNTAJE'!$A$4</definedName>
    <definedName name="MR_NL">'RELEVANCIA-PUNTAJE'!$E$3</definedName>
    <definedName name="RE_TL">'RELEVANCIA-PUNTAJE'!$B$4</definedName>
  </definedNames>
  <calcPr/>
  <extLst>
    <ext uri="GoogleSheetsCustomDataVersion2">
      <go:sheetsCustomData xmlns:go="http://customooxmlschemas.google.com/" r:id="rId11" roundtripDataChecksum="/EfGa/gXIZ89ZAmAJ0LHTYx5unYC77+lR4PWb8vSzcA="/>
    </ext>
  </extLst>
</workbook>
</file>

<file path=xl/sharedStrings.xml><?xml version="1.0" encoding="utf-8"?>
<sst xmlns="http://schemas.openxmlformats.org/spreadsheetml/2006/main" count="130" uniqueCount="98">
  <si>
    <t>INTEGRANTES</t>
  </si>
  <si>
    <t>GRUPAL</t>
  </si>
  <si>
    <t>ALARCÓN SOTO DIEGO ALEJANDRO</t>
  </si>
  <si>
    <t>Nivel de Logro</t>
  </si>
  <si>
    <t>NIVELES DE LOGRO Y PUNTAJES</t>
  </si>
  <si>
    <t>Aspectos a Evaluar</t>
  </si>
  <si>
    <t>Completamente logrado</t>
  </si>
  <si>
    <t>Logrado</t>
  </si>
  <si>
    <t>Logro Incipiente</t>
  </si>
  <si>
    <t>No logrado</t>
  </si>
  <si>
    <t>X</t>
  </si>
  <si>
    <t>Puntaje</t>
  </si>
  <si>
    <t>Nota</t>
  </si>
  <si>
    <t>Indicador de Evaluación</t>
  </si>
  <si>
    <t>Categorías de Respuesta</t>
  </si>
  <si>
    <t>Ponderación del Indicador de Evaluación</t>
  </si>
  <si>
    <t>Completamente Logrado  (100%)</t>
  </si>
  <si>
    <t>Logrado  (60%)</t>
  </si>
  <si>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</si>
  <si>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</si>
  <si>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</si>
  <si>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</si>
  <si>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</si>
  <si>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</si>
  <si>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</si>
  <si>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</si>
  <si>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</si>
  <si>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</si>
  <si>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</si>
  <si>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</si>
  <si>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</si>
  <si>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</si>
  <si>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</si>
  <si>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</si>
  <si>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</si>
  <si>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</si>
  <si>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</si>
  <si>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</si>
  <si>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</si>
  <si>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</si>
  <si>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</si>
  <si>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</si>
  <si>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</si>
  <si>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</si>
  <si>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</si>
  <si>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</si>
  <si>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</si>
  <si>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</si>
  <si>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</si>
  <si>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</si>
  <si>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</si>
  <si>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</si>
  <si>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</si>
  <si>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</si>
  <si>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</si>
  <si>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</si>
  <si>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</si>
  <si>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</si>
  <si>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</si>
  <si>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</si>
  <si>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</si>
  <si>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</si>
  <si>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</si>
  <si>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</si>
  <si>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Proyecto</t>
  </si>
  <si>
    <t>EasyTrace – Sistema Web de Seguimiento Logístico (Fase 2)</t>
  </si>
  <si>
    <t>Alumno</t>
  </si>
  <si>
    <t>Diego Alejandro Alarcón Soto</t>
  </si>
  <si>
    <t>Descripción de avances</t>
  </si>
  <si>
    <t>En esta fase se consolidó la arquitectura funcional del sistema, incluyendo creación de órdenes, gestión de productos, flujo de asignación de camiones y estados logísticos.</t>
  </si>
  <si>
    <t>Módulos completados</t>
  </si>
  <si>
    <t>-</t>
  </si>
  <si>
    <t>Login con roles: cliente, conductor y administrador logístico.</t>
  </si>
  <si>
    <t>Registro de usuarios con validaciones básicas.</t>
  </si>
  <si>
    <t>Creación de órdenes con dirección, ventana horaria y detalle de productos.</t>
  </si>
  <si>
    <t>Autocompletado de direcciones vía geocodificación.</t>
  </si>
  <si>
    <t>Asignación/reprogramación de órdenes desde el panel administrador.</t>
  </si>
  <si>
    <t>Actualización de estado por conductor (pendiente/entregado/saltado).</t>
  </si>
  <si>
    <t>Vista en mapa de coordenadas asociadas a entregas.</t>
  </si>
  <si>
    <t>Cálculo automático de totales y resumen de productos.</t>
  </si>
  <si>
    <t>Requerimientos implementados</t>
  </si>
  <si>
    <t>RF1</t>
  </si>
  <si>
    <t>Autenticación con sesiones diferenciales por rol.</t>
  </si>
  <si>
    <t>RF2</t>
  </si>
  <si>
    <t>Creación estructurada de órdenes.</t>
  </si>
  <si>
    <t>RF3</t>
  </si>
  <si>
    <t>Gestión de camiones y asignaciones.</t>
  </si>
  <si>
    <t>RF4</t>
  </si>
  <si>
    <t>Cambio de estado y registro logístico.</t>
  </si>
  <si>
    <t>RF5</t>
  </si>
  <si>
    <t>Mapa para visualizar ubicaciones.</t>
  </si>
  <si>
    <t>Estado técnico</t>
  </si>
  <si>
    <t>Frontend operativo en React + TypeScript.</t>
  </si>
  <si>
    <t>Backend funcional en Node.js + Express.</t>
  </si>
  <si>
    <t>Base de datos MariaDB integrada con órdenes, ítems, usuarios y camiones.</t>
  </si>
  <si>
    <t>APIs probadas localmente con éxito.</t>
  </si>
  <si>
    <t>Conclusión</t>
  </si>
  <si>
    <t>El sistema EasyTrace se encuentra completamente operativo a nivel funcional para la fase 2, cumpliendo los requerimientos principales definidos para el proyecto.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</si>
</sst>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8">
    <fill>
      <patternFill patternType="none"/>
    </fill>
    <fill>
      <patternFill patternType="lightGray"/>
    </fill>
    <fill>
      <patternFill patternType="solid">
        <fgColor rgb="FFECECEC"/>
        <bgColor rgb="FFECECEC"/>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9">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3" fontId="1" numFmtId="0" xfId="0" applyBorder="1" applyFill="1" applyFont="1"/>
    <xf borderId="1" fillId="2" fontId="1" numFmtId="164" xfId="0" applyAlignment="1" applyBorder="1" applyFont="1" applyNumberFormat="1">
      <alignment horizontal="center"/>
    </xf>
    <xf borderId="0" fillId="0" fontId="1" numFmtId="164" xfId="0" applyFont="1" applyNumberFormat="1"/>
    <xf borderId="0" fillId="3" fontId="1" numFmtId="0" xfId="0" applyAlignment="1" applyFont="1">
      <alignment readingOrder="0" shrinkToFit="0" wrapText="1"/>
    </xf>
    <xf borderId="3" fillId="4" fontId="3" numFmtId="0" xfId="0" applyAlignment="1" applyBorder="1" applyFill="1" applyFont="1">
      <alignment horizontal="center" textRotation="255" vertical="center"/>
    </xf>
    <xf borderId="1" fillId="5" fontId="4" numFmtId="0" xfId="0" applyAlignment="1" applyBorder="1" applyFill="1" applyFont="1">
      <alignment horizontal="center" vertical="center"/>
    </xf>
    <xf borderId="3" fillId="5" fontId="5" numFmtId="0" xfId="0" applyAlignment="1" applyBorder="1" applyFont="1">
      <alignment horizontal="center" vertical="center"/>
    </xf>
    <xf borderId="4" fillId="5" fontId="5" numFmtId="0" xfId="0" applyAlignment="1" applyBorder="1" applyFont="1">
      <alignment horizontal="center" vertical="center"/>
    </xf>
    <xf borderId="5" fillId="0" fontId="6" numFmtId="0" xfId="0" applyBorder="1" applyFont="1"/>
    <xf borderId="6" fillId="0" fontId="6" numFmtId="0" xfId="0" applyBorder="1" applyFont="1"/>
    <xf borderId="7" fillId="0" fontId="6" numFmtId="0" xfId="0" applyBorder="1" applyFont="1"/>
    <xf borderId="8" fillId="5" fontId="5" numFmtId="0" xfId="0" applyAlignment="1" applyBorder="1" applyFont="1">
      <alignment horizontal="center" vertical="center"/>
    </xf>
    <xf borderId="9" fillId="0" fontId="6" numFmtId="0" xfId="0" applyBorder="1" applyFont="1"/>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9" fillId="0" fontId="7" numFmtId="0" xfId="0" applyAlignment="1" applyBorder="1" applyFont="1">
      <alignment horizontal="right" shrinkToFit="0" vertical="center" wrapText="1"/>
    </xf>
    <xf borderId="3"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10" fillId="7" fontId="11" numFmtId="0" xfId="0" applyAlignment="1" applyBorder="1" applyFill="1" applyFont="1">
      <alignment horizontal="center" shrinkToFit="0" vertical="center" wrapText="1"/>
    </xf>
    <xf borderId="11" fillId="7" fontId="11" numFmtId="0" xfId="0" applyAlignment="1" applyBorder="1" applyFont="1">
      <alignment horizontal="center" shrinkToFit="0" vertical="center" wrapText="1"/>
    </xf>
    <xf borderId="12" fillId="0" fontId="6" numFmtId="0" xfId="0" applyBorder="1" applyFont="1"/>
    <xf borderId="13" fillId="0" fontId="6" numFmtId="0" xfId="0" applyBorder="1" applyFont="1"/>
    <xf borderId="14" fillId="0" fontId="6" numFmtId="0" xfId="0" applyBorder="1" applyFont="1"/>
    <xf borderId="10" fillId="7" fontId="12" numFmtId="0" xfId="0" applyAlignment="1" applyBorder="1" applyFont="1">
      <alignment horizontal="center" shrinkToFit="0" vertical="center" wrapText="1"/>
    </xf>
    <xf borderId="15" fillId="7" fontId="12" numFmtId="0" xfId="0" applyAlignment="1" applyBorder="1" applyFont="1">
      <alignment horizontal="center" shrinkToFit="0" vertical="center" wrapText="1"/>
    </xf>
    <xf borderId="15" fillId="7" fontId="11" numFmtId="0" xfId="0" applyAlignment="1" applyBorder="1" applyFont="1">
      <alignment horizontal="center" shrinkToFit="0" vertical="center" wrapText="1"/>
    </xf>
    <xf borderId="16" fillId="0" fontId="6" numFmtId="0" xfId="0" applyBorder="1" applyFont="1"/>
    <xf borderId="15" fillId="7" fontId="11" numFmtId="9" xfId="0" applyAlignment="1" applyBorder="1" applyFont="1" applyNumberFormat="1">
      <alignment horizontal="center" shrinkToFit="0" vertical="center" wrapText="1"/>
    </xf>
    <xf borderId="17" fillId="0" fontId="6" numFmtId="0" xfId="0" applyBorder="1" applyFont="1"/>
    <xf borderId="1" fillId="0" fontId="8" numFmtId="0" xfId="0" applyAlignment="1" applyBorder="1" applyFont="1">
      <alignment horizontal="left" shrinkToFit="0" vertical="center" wrapText="1"/>
    </xf>
    <xf borderId="18" fillId="0" fontId="13" numFmtId="0" xfId="0" applyAlignment="1" applyBorder="1" applyFont="1">
      <alignment horizontal="center" shrinkToFit="0" vertical="center" wrapText="1"/>
    </xf>
    <xf borderId="19"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8" fillId="0" fontId="5" numFmtId="0" xfId="0" applyAlignment="1" applyBorder="1" applyFont="1">
      <alignment horizontal="center" shrinkToFit="0" vertical="center" wrapText="1"/>
    </xf>
    <xf borderId="19" fillId="0" fontId="5" numFmtId="0" xfId="0" applyAlignment="1" applyBorder="1" applyFont="1">
      <alignment horizontal="center" shrinkToFit="0" vertical="center" wrapText="1"/>
    </xf>
    <xf borderId="20" fillId="5" fontId="2" numFmtId="0" xfId="0" applyAlignment="1" applyBorder="1" applyFont="1">
      <alignment horizontal="left" shrinkToFit="0" vertical="center" wrapText="1"/>
    </xf>
    <xf borderId="21" fillId="5" fontId="2" numFmtId="0" xfId="0" applyAlignment="1" applyBorder="1" applyFont="1">
      <alignment shrinkToFit="0" vertical="center" wrapText="1"/>
    </xf>
    <xf borderId="22" fillId="5" fontId="2" numFmtId="0" xfId="0" applyAlignment="1" applyBorder="1" applyFont="1">
      <alignment shrinkToFit="0" vertical="center" wrapText="1"/>
    </xf>
    <xf borderId="23" fillId="5" fontId="2" numFmtId="0" xfId="0" applyAlignment="1" applyBorder="1" applyFont="1">
      <alignment shrinkToFit="0" vertical="center" wrapText="1"/>
    </xf>
    <xf borderId="24" fillId="0" fontId="6" numFmtId="0" xfId="0" applyBorder="1" applyFont="1"/>
    <xf borderId="25" fillId="5" fontId="2" numFmtId="0" xfId="0" applyAlignment="1" applyBorder="1" applyFont="1">
      <alignment shrinkToFit="0" vertical="center" wrapText="1"/>
    </xf>
    <xf borderId="26" fillId="5" fontId="2" numFmtId="0" xfId="0" applyAlignment="1" applyBorder="1" applyFont="1">
      <alignment shrinkToFit="0" vertical="center" wrapText="1"/>
    </xf>
    <xf borderId="27" fillId="5" fontId="2" numFmtId="0" xfId="0" applyAlignment="1" applyBorder="1" applyFont="1">
      <alignment shrinkToFit="0" vertical="center" wrapText="1"/>
    </xf>
    <xf borderId="24" fillId="0" fontId="2" numFmtId="0" xfId="0" applyAlignment="1" applyBorder="1" applyFont="1">
      <alignment horizontal="left" shrinkToFit="0" vertical="center" wrapText="1"/>
    </xf>
    <xf borderId="28"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6.1</v>
      </c>
      <c r="G4" s="7"/>
    </row>
    <row r="5">
      <c r="A5" s="4"/>
      <c r="B5" s="5"/>
      <c r="C5" s="6">
        <f>EVALUACION2!$C$22</f>
        <v>6.1</v>
      </c>
      <c r="G5" s="7"/>
    </row>
    <row r="6">
      <c r="A6" s="4"/>
      <c r="B6" s="5"/>
      <c r="C6" s="6">
        <f>EVALUACION2!$C$22</f>
        <v>6.1</v>
      </c>
      <c r="G6" s="7"/>
    </row>
    <row r="8" ht="30.0" customHeight="1">
      <c r="B8" s="8"/>
    </row>
    <row r="11" ht="18.75" customHeight="1" outlineLevel="1">
      <c r="A11" s="9" t="s">
        <v>1</v>
      </c>
      <c r="B11" s="10"/>
      <c r="C11" s="11" t="s">
        <v>3</v>
      </c>
      <c r="D11" s="12" t="s">
        <v>4</v>
      </c>
      <c r="E11" s="13"/>
      <c r="F11" s="13"/>
      <c r="G11" s="13"/>
      <c r="H11" s="13"/>
      <c r="I11" s="13"/>
      <c r="J11" s="13"/>
      <c r="K11" s="14"/>
    </row>
    <row r="12" outlineLevel="1">
      <c r="A12" s="15"/>
      <c r="B12" s="16" t="s">
        <v>5</v>
      </c>
      <c r="C12" s="17"/>
      <c r="D12" s="12" t="s">
        <v>6</v>
      </c>
      <c r="E12" s="14"/>
      <c r="F12" s="12" t="s">
        <v>7</v>
      </c>
      <c r="G12" s="14"/>
      <c r="H12" s="12" t="s">
        <v>8</v>
      </c>
      <c r="I12" s="14"/>
      <c r="J12" s="12" t="s">
        <v>9</v>
      </c>
      <c r="K12" s="14"/>
    </row>
    <row r="13" ht="24.0" customHeight="1" outlineLevel="1">
      <c r="A13" s="15"/>
      <c r="B13" s="18" t="str">
        <f>RUBRICA!A4</f>
        <v>1. Propone ajustes al Proyecto APT considerando dificultades, facilitadores y retroalimentación. </v>
      </c>
      <c r="C13" s="19" t="s">
        <v>6</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row>
    <row r="14" ht="26.25" customHeight="1" outlineLevel="1">
      <c r="A14" s="15"/>
      <c r="B14" s="18" t="str">
        <f>RUBRICA!A5</f>
        <v>2. Aplica una metodología que permite el logro de los objetivos propuestos, de acuerdo a los estándares de la disciplina.</v>
      </c>
      <c r="C14" s="19" t="s">
        <v>6</v>
      </c>
      <c r="D14" s="20"/>
      <c r="E14" s="20" t="str">
        <f t="shared" si="1"/>
        <v/>
      </c>
      <c r="F14" s="20" t="s">
        <v>10</v>
      </c>
      <c r="G14" s="20">
        <f t="shared" si="2"/>
        <v>6</v>
      </c>
      <c r="H14" s="20" t="str">
        <f>IF($C14=ML,"X","")</f>
        <v/>
      </c>
      <c r="I14" s="20" t="str">
        <f t="shared" si="3"/>
        <v/>
      </c>
      <c r="J14" s="20" t="str">
        <f>IF($C14=NL,"X","")</f>
        <v/>
      </c>
      <c r="K14" s="20" t="str">
        <f t="shared" si="4"/>
        <v/>
      </c>
    </row>
    <row r="15" ht="48.0" customHeight="1"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6</v>
      </c>
      <c r="D15" s="20" t="s">
        <v>10</v>
      </c>
      <c r="E15" s="20">
        <f>IF(D15="X",100*0.25,"")</f>
        <v>25</v>
      </c>
      <c r="F15" s="20"/>
      <c r="G15" s="20" t="str">
        <f>IF(F15="X",60*0.25,"")</f>
        <v/>
      </c>
      <c r="H15" s="20" t="str">
        <f>IF($C15=ML,"X","")</f>
        <v/>
      </c>
      <c r="I15" s="20" t="str">
        <f>IF(H15="X",30*0.25,"")</f>
        <v/>
      </c>
      <c r="J15" s="20" t="str">
        <f>IF($C15=NL,"X","")</f>
        <v/>
      </c>
      <c r="K15" s="20" t="str">
        <f t="shared" si="4"/>
        <v/>
      </c>
    </row>
    <row r="16" ht="24.0" customHeight="1" outlineLevel="1">
      <c r="A16" s="15"/>
      <c r="B16" s="18" t="str">
        <f>RUBRICA!A7</f>
        <v>4. Utiliza de manera precisa el lenguaje técnico en los entregables de acuerdo con lo requerido por la disciplina.</v>
      </c>
      <c r="C16" s="19" t="s">
        <v>6</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row>
    <row r="17" ht="24.0" customHeight="1" outlineLevel="1">
      <c r="A17" s="15"/>
      <c r="B17" s="18" t="str">
        <f>RUBRICA!A8</f>
        <v>5. Utiliza reglas de redacción, ortografía (literal, puntual, acentual) y las normas para citas y referencias. </v>
      </c>
      <c r="C17" s="19" t="s">
        <v>6</v>
      </c>
      <c r="D17" s="20" t="str">
        <f>IF($C17=CL,"X","")</f>
        <v>X</v>
      </c>
      <c r="E17" s="20">
        <f t="shared" si="5"/>
        <v>5</v>
      </c>
      <c r="F17" s="20" t="str">
        <f>IF($C17=L,"X","")</f>
        <v/>
      </c>
      <c r="G17" s="20" t="str">
        <f t="shared" si="6"/>
        <v/>
      </c>
      <c r="H17" s="20" t="str">
        <f>IF($C17=ML,"X","")</f>
        <v/>
      </c>
      <c r="I17" s="20" t="str">
        <f t="shared" si="7"/>
        <v/>
      </c>
      <c r="J17" s="20" t="str">
        <f>IF($C17=NL,"X","")</f>
        <v/>
      </c>
      <c r="K17" s="20" t="str">
        <f t="shared" si="4"/>
        <v/>
      </c>
    </row>
    <row r="18" ht="36.0" customHeight="1" outlineLevel="1">
      <c r="A18" s="15"/>
      <c r="B18" s="18" t="str">
        <f>RUBRICA!A9</f>
        <v>6. Entrega la documentación y evidencias requerida por la asignatura de acuerdo a la estrucutra y nombres solicitados, guardando todas las evidencias de avances en Git</v>
      </c>
      <c r="C18" s="19" t="s">
        <v>6</v>
      </c>
      <c r="D18" s="20"/>
      <c r="E18" s="20" t="str">
        <f>IF(D18="X",100*0.2,"")</f>
        <v/>
      </c>
      <c r="F18" s="20" t="s">
        <v>10</v>
      </c>
      <c r="G18" s="20">
        <f>IF(F18="X",60*0.2,"")</f>
        <v>12</v>
      </c>
      <c r="H18" s="20" t="str">
        <f>IF($C18=ML,"X","")</f>
        <v/>
      </c>
      <c r="I18" s="20" t="str">
        <f>IF(H18="X",30*0.2,"")</f>
        <v/>
      </c>
      <c r="J18" s="20" t="str">
        <f>IF($C18=NL,"X","")</f>
        <v/>
      </c>
      <c r="K18" s="20" t="str">
        <f t="shared" si="4"/>
        <v/>
      </c>
    </row>
    <row r="19" ht="36.0" customHeight="1" outlineLevel="1">
      <c r="A19" s="15"/>
      <c r="B19" s="18" t="str">
        <f>RUBRICA!A10</f>
        <v>7.- Generan evidencias claras dentro del repositorio  del aporte de cada uno de los integrantes del equipo que permitan identificar la equidad en el trabajo y la participación de cada estudiante.</v>
      </c>
      <c r="C19" s="19" t="s">
        <v>6</v>
      </c>
      <c r="D19" s="20" t="str">
        <f>IF($C19=CL,"X","")</f>
        <v>X</v>
      </c>
      <c r="E19" s="20">
        <f>IF(D19="X",100*0.15,"")</f>
        <v>15</v>
      </c>
      <c r="F19" s="20" t="str">
        <f>IF($C19=L,"X","")</f>
        <v/>
      </c>
      <c r="G19" s="20" t="str">
        <f>IF(F19="X",60*0.15,"")</f>
        <v/>
      </c>
      <c r="H19" s="20" t="str">
        <f>IF($C19=ML,"X","")</f>
        <v/>
      </c>
      <c r="I19" s="20" t="str">
        <f>IF(H19="X",30*0.15,"")</f>
        <v/>
      </c>
      <c r="J19" s="20" t="str">
        <f>IF($C19=NL,"X","")</f>
        <v/>
      </c>
      <c r="K19" s="20" t="str">
        <f t="shared" si="4"/>
        <v/>
      </c>
    </row>
    <row r="20" ht="36.0" customHeight="1" outlineLevel="1">
      <c r="A20" s="15"/>
      <c r="B20" s="18" t="str">
        <f>RUBRICA!A11</f>
        <v>8. Demuestra un trabajo en equipo en donde todos los miembros del equipo expresan con fluidez el conocimiento del tema expuesto y  participan de las actividades planificadas en el proyecto</v>
      </c>
      <c r="C20" s="19" t="s">
        <v>6</v>
      </c>
      <c r="D20" s="20" t="str">
        <f>IF($C20=CL,"X","")</f>
        <v>X</v>
      </c>
      <c r="E20" s="20">
        <f>IF(D20="X",100*0.1,"")</f>
        <v>10</v>
      </c>
      <c r="F20" s="20" t="str">
        <f>IF($C20=L,"X","")</f>
        <v/>
      </c>
      <c r="G20" s="20" t="str">
        <f>IF(F20="X",60*0.1,"")</f>
        <v/>
      </c>
      <c r="H20" s="20" t="str">
        <f>IF($C20=ML,"X","")</f>
        <v/>
      </c>
      <c r="I20" s="20" t="str">
        <f>IF(H20="X",30*0.1,"")</f>
        <v/>
      </c>
      <c r="J20" s="20" t="str">
        <f>IF($C20=NL,"X","")</f>
        <v/>
      </c>
      <c r="K20" s="20" t="str">
        <f t="shared" si="4"/>
        <v/>
      </c>
    </row>
    <row r="21" ht="15.75" customHeight="1" outlineLevel="1">
      <c r="A21" s="15"/>
      <c r="B21" s="21" t="s">
        <v>11</v>
      </c>
      <c r="C21" s="22">
        <f>E21+G21+I21+K21</f>
        <v>88</v>
      </c>
      <c r="D21" s="23"/>
      <c r="E21" s="23">
        <f>SUM(E13:E20)</f>
        <v>70</v>
      </c>
      <c r="F21" s="23"/>
      <c r="G21" s="23">
        <f>SUM(G13:G20)</f>
        <v>18</v>
      </c>
      <c r="H21" s="23"/>
      <c r="I21" s="23">
        <f>SUM(I13:I20)</f>
        <v>0</v>
      </c>
      <c r="J21" s="23"/>
      <c r="K21" s="23">
        <f>SUM(K13:K20)</f>
        <v>0</v>
      </c>
    </row>
    <row r="22" ht="15.75" customHeight="1" outlineLevel="1">
      <c r="A22" s="17"/>
      <c r="B22" s="24" t="s">
        <v>12</v>
      </c>
      <c r="C22" s="25">
        <f>VLOOKUP(C21,ESCALA_IEP!A2:B202,2,FALSE)</f>
        <v>6.1</v>
      </c>
    </row>
    <row r="23" ht="15.75" customHeight="1">
      <c r="D23" s="26" t="s">
        <v>10</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5.75" customHeight="1">
      <c r="A1" s="31" t="s">
        <v>13</v>
      </c>
      <c r="B1" s="32" t="s">
        <v>14</v>
      </c>
      <c r="C1" s="33"/>
      <c r="D1" s="33"/>
      <c r="E1" s="34"/>
      <c r="F1" s="31" t="s">
        <v>15</v>
      </c>
    </row>
    <row r="2">
      <c r="A2" s="35"/>
      <c r="B2" s="36" t="s">
        <v>16</v>
      </c>
      <c r="C2" s="36" t="s">
        <v>17</v>
      </c>
      <c r="D2" s="37" t="s">
        <v>18</v>
      </c>
      <c r="E2" s="38" t="s">
        <v>9</v>
      </c>
      <c r="F2" s="35"/>
    </row>
    <row r="3" ht="15.75" customHeight="1">
      <c r="A3" s="39"/>
      <c r="B3" s="39"/>
      <c r="C3" s="39"/>
      <c r="D3" s="40">
        <v>-0.3</v>
      </c>
      <c r="E3" s="40">
        <v>0.0</v>
      </c>
      <c r="F3" s="41"/>
    </row>
    <row r="4" ht="51.75" customHeight="1">
      <c r="A4" s="42" t="s">
        <v>19</v>
      </c>
      <c r="B4" s="42" t="s">
        <v>20</v>
      </c>
      <c r="C4" s="42" t="s">
        <v>21</v>
      </c>
      <c r="D4" s="42" t="s">
        <v>22</v>
      </c>
      <c r="E4" s="42" t="s">
        <v>23</v>
      </c>
      <c r="F4" s="43">
        <v>10.0</v>
      </c>
    </row>
    <row r="5" ht="51.75" customHeight="1">
      <c r="A5" s="42" t="s">
        <v>24</v>
      </c>
      <c r="B5" s="42" t="s">
        <v>25</v>
      </c>
      <c r="C5" s="42" t="s">
        <v>26</v>
      </c>
      <c r="D5" s="42" t="s">
        <v>27</v>
      </c>
      <c r="E5" s="42" t="s">
        <v>28</v>
      </c>
      <c r="F5" s="43">
        <v>10.0</v>
      </c>
    </row>
    <row r="6" ht="90.0" customHeight="1">
      <c r="A6" s="42" t="s">
        <v>29</v>
      </c>
      <c r="B6" s="42" t="s">
        <v>30</v>
      </c>
      <c r="C6" s="42" t="s">
        <v>31</v>
      </c>
      <c r="D6" s="42" t="s">
        <v>32</v>
      </c>
      <c r="E6" s="42" t="s">
        <v>33</v>
      </c>
      <c r="F6" s="43">
        <v>25.0</v>
      </c>
    </row>
    <row r="7" ht="39.0" customHeight="1">
      <c r="A7" s="42" t="s">
        <v>34</v>
      </c>
      <c r="B7" s="42" t="s">
        <v>35</v>
      </c>
      <c r="C7" s="42" t="s">
        <v>36</v>
      </c>
      <c r="D7" s="42" t="s">
        <v>37</v>
      </c>
      <c r="E7" s="42" t="s">
        <v>38</v>
      </c>
      <c r="F7" s="43">
        <v>5.0</v>
      </c>
    </row>
    <row r="8" ht="51.0" customHeight="1">
      <c r="A8" s="42" t="s">
        <v>39</v>
      </c>
      <c r="B8" s="42" t="s">
        <v>40</v>
      </c>
      <c r="C8" s="42" t="s">
        <v>41</v>
      </c>
      <c r="D8" s="42" t="s">
        <v>42</v>
      </c>
      <c r="E8" s="42" t="s">
        <v>43</v>
      </c>
      <c r="F8" s="44">
        <v>5.0</v>
      </c>
    </row>
    <row r="9" ht="51.75" customHeight="1">
      <c r="A9" s="42" t="s">
        <v>44</v>
      </c>
      <c r="B9" s="42" t="s">
        <v>45</v>
      </c>
      <c r="C9" s="42" t="s">
        <v>46</v>
      </c>
      <c r="D9" s="42" t="s">
        <v>47</v>
      </c>
      <c r="E9" s="42" t="s">
        <v>48</v>
      </c>
      <c r="F9" s="43">
        <v>20.0</v>
      </c>
    </row>
    <row r="10" ht="64.5" customHeight="1">
      <c r="A10" s="45" t="s">
        <v>49</v>
      </c>
      <c r="B10" s="45" t="s">
        <v>50</v>
      </c>
      <c r="C10" s="45" t="s">
        <v>51</v>
      </c>
      <c r="D10" s="45" t="s">
        <v>52</v>
      </c>
      <c r="E10" s="45" t="s">
        <v>53</v>
      </c>
      <c r="F10" s="46">
        <v>15.0</v>
      </c>
    </row>
    <row r="11" ht="81.0" customHeight="1">
      <c r="A11" s="42" t="s">
        <v>54</v>
      </c>
      <c r="B11" s="42" t="s">
        <v>55</v>
      </c>
      <c r="C11" s="42" t="s">
        <v>56</v>
      </c>
      <c r="D11" s="42" t="s">
        <v>57</v>
      </c>
      <c r="E11" s="42" t="s">
        <v>58</v>
      </c>
      <c r="F11" s="47">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11</v>
      </c>
      <c r="B1" s="26" t="s">
        <v>12</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59</v>
      </c>
      <c r="B1" s="26" t="s">
        <v>60</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11</v>
      </c>
      <c r="B1" s="26" t="s">
        <v>12</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61</v>
      </c>
      <c r="B1" s="49" t="s">
        <v>11</v>
      </c>
      <c r="C1" s="50"/>
      <c r="D1" s="50"/>
      <c r="E1" s="51"/>
    </row>
    <row r="2" ht="45.75" customHeight="1">
      <c r="A2" s="52"/>
      <c r="B2" s="53" t="s">
        <v>6</v>
      </c>
      <c r="C2" s="54" t="s">
        <v>7</v>
      </c>
      <c r="D2" s="54" t="s">
        <v>62</v>
      </c>
      <c r="E2" s="55" t="s">
        <v>9</v>
      </c>
    </row>
    <row r="3" ht="30.75" customHeight="1">
      <c r="A3" s="56" t="s">
        <v>63</v>
      </c>
      <c r="B3" s="57">
        <v>4.0</v>
      </c>
      <c r="C3" s="57">
        <v>3.0</v>
      </c>
      <c r="D3" s="57">
        <v>2.0</v>
      </c>
      <c r="E3" s="57">
        <v>0.0</v>
      </c>
    </row>
    <row r="4" ht="15.75" customHeight="1">
      <c r="A4" s="56"/>
      <c r="B4" s="57"/>
      <c r="C4" s="57"/>
      <c r="D4" s="57"/>
      <c r="E4" s="57"/>
    </row>
    <row r="5" ht="15.75" customHeight="1">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6" t="s">
        <v>64</v>
      </c>
      <c r="B1" s="26" t="s">
        <v>65</v>
      </c>
    </row>
    <row r="2">
      <c r="A2" s="26" t="s">
        <v>66</v>
      </c>
      <c r="B2" s="26" t="s">
        <v>67</v>
      </c>
    </row>
    <row r="3">
      <c r="A3" s="26" t="s">
        <v>68</v>
      </c>
      <c r="B3" s="26" t="s">
        <v>69</v>
      </c>
    </row>
    <row r="5">
      <c r="A5" s="26" t="s">
        <v>70</v>
      </c>
    </row>
    <row r="6">
      <c r="A6" s="26" t="s">
        <v>71</v>
      </c>
      <c r="B6" s="26" t="s">
        <v>72</v>
      </c>
    </row>
    <row r="7">
      <c r="A7" s="26" t="s">
        <v>71</v>
      </c>
      <c r="B7" s="26" t="s">
        <v>73</v>
      </c>
    </row>
    <row r="8">
      <c r="A8" s="26" t="s">
        <v>71</v>
      </c>
      <c r="B8" s="26" t="s">
        <v>74</v>
      </c>
    </row>
    <row r="9">
      <c r="A9" s="26" t="s">
        <v>71</v>
      </c>
      <c r="B9" s="26" t="s">
        <v>75</v>
      </c>
    </row>
    <row r="10">
      <c r="A10" s="26" t="s">
        <v>71</v>
      </c>
      <c r="B10" s="26" t="s">
        <v>76</v>
      </c>
    </row>
    <row r="11">
      <c r="A11" s="26" t="s">
        <v>71</v>
      </c>
      <c r="B11" s="26" t="s">
        <v>77</v>
      </c>
    </row>
    <row r="12">
      <c r="A12" s="26" t="s">
        <v>71</v>
      </c>
      <c r="B12" s="26" t="s">
        <v>78</v>
      </c>
    </row>
    <row r="13">
      <c r="A13" s="26" t="s">
        <v>71</v>
      </c>
      <c r="B13" s="26" t="s">
        <v>79</v>
      </c>
    </row>
    <row r="15">
      <c r="A15" s="26" t="s">
        <v>80</v>
      </c>
    </row>
    <row r="16">
      <c r="A16" s="26" t="s">
        <v>81</v>
      </c>
      <c r="B16" s="26" t="s">
        <v>82</v>
      </c>
    </row>
    <row r="17">
      <c r="A17" s="26" t="s">
        <v>83</v>
      </c>
      <c r="B17" s="26" t="s">
        <v>84</v>
      </c>
    </row>
    <row r="18">
      <c r="A18" s="26" t="s">
        <v>85</v>
      </c>
      <c r="B18" s="26" t="s">
        <v>86</v>
      </c>
    </row>
    <row r="19">
      <c r="A19" s="26" t="s">
        <v>87</v>
      </c>
      <c r="B19" s="26" t="s">
        <v>88</v>
      </c>
    </row>
    <row r="20">
      <c r="A20" s="26" t="s">
        <v>89</v>
      </c>
      <c r="B20" s="26" t="s">
        <v>90</v>
      </c>
    </row>
    <row r="21" ht="15.75" customHeight="1"/>
    <row r="22" ht="15.75" customHeight="1">
      <c r="A22" s="26" t="s">
        <v>91</v>
      </c>
    </row>
    <row r="23" ht="15.75" customHeight="1">
      <c r="A23" s="26" t="s">
        <v>71</v>
      </c>
      <c r="B23" s="26" t="s">
        <v>92</v>
      </c>
    </row>
    <row r="24" ht="15.75" customHeight="1">
      <c r="A24" s="26" t="s">
        <v>71</v>
      </c>
      <c r="B24" s="26" t="s">
        <v>93</v>
      </c>
    </row>
    <row r="25" ht="15.75" customHeight="1">
      <c r="A25" s="26" t="s">
        <v>71</v>
      </c>
      <c r="B25" s="26" t="s">
        <v>94</v>
      </c>
    </row>
    <row r="26" ht="15.75" customHeight="1">
      <c r="A26" s="26" t="s">
        <v>71</v>
      </c>
      <c r="B26" s="26" t="s">
        <v>95</v>
      </c>
    </row>
    <row r="27" ht="15.75" customHeight="1"/>
    <row r="28" ht="15.75" customHeight="1">
      <c r="A28" s="26" t="s">
        <v>96</v>
      </c>
      <c r="B28" s="26" t="s">
        <v>97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